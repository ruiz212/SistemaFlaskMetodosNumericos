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 de Romberg" sheetId="1" state="visible" r:id="rId1"/>
    <sheet xmlns:r="http://schemas.openxmlformats.org/officeDocument/2006/relationships" name="Newton-Raph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3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</t>
        </is>
      </c>
      <c r="B1" s="1" t="inlineStr">
        <is>
          <t>t (Hora)</t>
        </is>
      </c>
      <c r="C1" s="1" t="inlineStr">
        <is>
          <t>f(t) (W/m²)</t>
        </is>
      </c>
      <c r="D1" s="1" t="inlineStr">
        <is>
          <t>j (Nivel)</t>
        </is>
      </c>
      <c r="E1" s="1" t="inlineStr">
        <is>
          <t>Intervalos (n)</t>
        </is>
      </c>
      <c r="F1" s="1" t="inlineStr">
        <is>
          <t>h (Paso)</t>
        </is>
      </c>
      <c r="G1" s="1" t="inlineStr">
        <is>
          <t>k=1 (Trapecio)</t>
        </is>
      </c>
      <c r="H1" s="1" t="inlineStr">
        <is>
          <t>k=2</t>
        </is>
      </c>
      <c r="I1" s="1" t="inlineStr">
        <is>
          <t>k=3</t>
        </is>
      </c>
      <c r="J1" s="1" t="inlineStr">
        <is>
          <t>k=4</t>
        </is>
      </c>
      <c r="K1" s="1" t="inlineStr">
        <is>
          <t>k=5 (Alta Precisión)</t>
        </is>
      </c>
    </row>
    <row r="2">
      <c r="A2" t="n">
        <v>0</v>
      </c>
      <c r="B2" s="2" t="n">
        <v>0</v>
      </c>
      <c r="C2" s="2" t="n">
        <v>0</v>
      </c>
      <c r="D2" t="n">
        <v>1</v>
      </c>
      <c r="E2" t="n">
        <v>2</v>
      </c>
      <c r="F2" s="2" t="n">
        <v>11.5</v>
      </c>
      <c r="G2" s="2">
        <f>(F2/2)*(C2 + 2*C18 + C34)</f>
        <v/>
      </c>
      <c r="H2" s="2">
        <f>(4*G3 - G2)/3</f>
        <v/>
      </c>
      <c r="I2" s="2">
        <f>(16*H3 - H2)/15</f>
        <v/>
      </c>
      <c r="J2" s="2">
        <f>(64*I3 - I2)/63</f>
        <v/>
      </c>
      <c r="K2" s="3">
        <f>(256*J3 - J2)/255</f>
        <v/>
      </c>
      <c r="M2" s="4" t="inlineStr">
        <is>
          <t>Trapecio Simple (h=1) como en Sistema</t>
        </is>
      </c>
    </row>
    <row r="3">
      <c r="A3" t="n">
        <v>1</v>
      </c>
      <c r="B3" s="2" t="n">
        <v>0.71875</v>
      </c>
      <c r="C3" s="2" t="n">
        <v>0</v>
      </c>
      <c r="D3" t="n">
        <v>2</v>
      </c>
      <c r="E3" t="n">
        <v>4</v>
      </c>
      <c r="F3" s="2" t="n">
        <v>5.75</v>
      </c>
      <c r="G3" s="2">
        <f>(F3/2)*(C2 + 2*(C10+C18+C26) + C34)</f>
        <v/>
      </c>
      <c r="H3" s="2">
        <f>(4*G4 - G3)/3</f>
        <v/>
      </c>
      <c r="I3" s="2">
        <f>(16*H4 - H3)/15</f>
        <v/>
      </c>
      <c r="J3" s="2">
        <f>(64*I4 - I3)/63</f>
        <v/>
      </c>
      <c r="K3" s="2" t="n"/>
      <c r="M3" t="inlineStr">
        <is>
          <t>El sistema evalúa el trapecio usando los 24 puntos de datos originales (h=1).</t>
        </is>
      </c>
    </row>
    <row r="4">
      <c r="A4" t="n">
        <v>2</v>
      </c>
      <c r="B4" s="2" t="n">
        <v>1.4375</v>
      </c>
      <c r="C4" s="2" t="n">
        <v>0</v>
      </c>
      <c r="D4" t="n">
        <v>3</v>
      </c>
      <c r="E4" t="n">
        <v>8</v>
      </c>
      <c r="F4" s="2" t="n">
        <v>2.875</v>
      </c>
      <c r="G4" s="2">
        <f>(F4/2)*(C2 + 2*(C6+C10+C14+C18+C22+C26+C30) + C34)</f>
        <v/>
      </c>
      <c r="H4" s="2">
        <f>(4*G5 - G4)/3</f>
        <v/>
      </c>
      <c r="I4" s="2">
        <f>(16*H5 - H4)/15</f>
        <v/>
      </c>
      <c r="J4" s="2" t="n"/>
      <c r="K4" s="2" t="n"/>
      <c r="M4" t="inlineStr">
        <is>
          <t>Energía (Trapecio Simple):</t>
        </is>
      </c>
      <c r="N4" s="2" t="n">
        <v>1492.21075</v>
      </c>
    </row>
    <row r="5">
      <c r="A5" t="n">
        <v>3</v>
      </c>
      <c r="B5" s="2" t="n">
        <v>2.15625</v>
      </c>
      <c r="C5" s="2" t="n">
        <v>0</v>
      </c>
      <c r="D5" t="n">
        <v>4</v>
      </c>
      <c r="E5" t="n">
        <v>16</v>
      </c>
      <c r="F5" s="2" t="n">
        <v>1.4375</v>
      </c>
      <c r="G5" s="2">
        <f>(F5/2)*(C2 + 2*(C4+C6+C8+C10+C12+C14+C16+C18+C20+C22+C24+C26+C28+C30+C32) + C34)</f>
        <v/>
      </c>
      <c r="H5" s="2">
        <f>(4*G6 - G5)/3</f>
        <v/>
      </c>
      <c r="I5" s="2" t="n"/>
      <c r="J5" s="2" t="n"/>
      <c r="K5" s="2" t="n"/>
      <c r="M5" t="inlineStr">
        <is>
          <t>Energía (Romberg k=5):</t>
        </is>
      </c>
      <c r="N5" s="2">
        <f>K2</f>
        <v/>
      </c>
    </row>
    <row r="6">
      <c r="A6" t="n">
        <v>4</v>
      </c>
      <c r="B6" s="2" t="n">
        <v>2.875</v>
      </c>
      <c r="C6" s="2" t="n">
        <v>0</v>
      </c>
      <c r="D6" t="n">
        <v>5</v>
      </c>
      <c r="E6" t="n">
        <v>32</v>
      </c>
      <c r="F6" s="2" t="n">
        <v>0.71875</v>
      </c>
      <c r="G6" s="2">
        <f>(F6/2)*(C2 + 2*SUM(C3:C33) + C34)</f>
        <v/>
      </c>
      <c r="H6" s="2" t="n"/>
      <c r="I6" s="2" t="n"/>
      <c r="J6" s="2" t="n"/>
      <c r="K6" s="2" t="n"/>
    </row>
    <row r="7">
      <c r="A7" t="n">
        <v>5</v>
      </c>
      <c r="B7" s="2" t="n">
        <v>3.59375</v>
      </c>
      <c r="C7" s="2" t="n">
        <v>0</v>
      </c>
    </row>
    <row r="8">
      <c r="A8" t="n">
        <v>6</v>
      </c>
      <c r="B8" s="2" t="n">
        <v>4.3125</v>
      </c>
      <c r="C8" s="2" t="n">
        <v>0</v>
      </c>
    </row>
    <row r="9">
      <c r="A9" t="n">
        <v>7</v>
      </c>
      <c r="B9" s="2" t="n">
        <v>5.03125</v>
      </c>
      <c r="C9" s="2" t="n">
        <v>0.0311515625</v>
      </c>
    </row>
    <row r="10">
      <c r="A10" t="n">
        <v>8</v>
      </c>
      <c r="B10" s="2" t="n">
        <v>5.75</v>
      </c>
      <c r="C10" s="2" t="n">
        <v>0.7476375</v>
      </c>
    </row>
    <row r="11">
      <c r="A11" t="n">
        <v>9</v>
      </c>
      <c r="B11" s="2" t="n">
        <v>6.46875</v>
      </c>
      <c r="C11" s="2" t="n">
        <v>8.444537499999999</v>
      </c>
    </row>
    <row r="12">
      <c r="A12" t="n">
        <v>10</v>
      </c>
      <c r="B12" s="2" t="n">
        <v>7.1875</v>
      </c>
      <c r="C12" s="2" t="n">
        <v>15.952053125</v>
      </c>
    </row>
    <row r="13">
      <c r="A13" t="n">
        <v>11</v>
      </c>
      <c r="B13" s="2" t="n">
        <v>7.90625</v>
      </c>
      <c r="C13" s="2" t="n">
        <v>12.3747984375</v>
      </c>
    </row>
    <row r="14">
      <c r="A14" t="n">
        <v>12</v>
      </c>
      <c r="B14" s="2" t="n">
        <v>8.625</v>
      </c>
      <c r="C14" s="2" t="n">
        <v>60.59835625</v>
      </c>
    </row>
    <row r="15">
      <c r="A15" t="n">
        <v>13</v>
      </c>
      <c r="B15" s="2" t="n">
        <v>9.34375</v>
      </c>
      <c r="C15" s="2" t="n">
        <v>193.991834375</v>
      </c>
    </row>
    <row r="16">
      <c r="A16" t="n">
        <v>14</v>
      </c>
      <c r="B16" s="2" t="n">
        <v>10.0625</v>
      </c>
      <c r="C16" s="2" t="n">
        <v>395.181265625</v>
      </c>
    </row>
    <row r="17">
      <c r="A17" t="n">
        <v>15</v>
      </c>
      <c r="B17" s="2" t="n">
        <v>10.78125</v>
      </c>
      <c r="C17" s="2" t="n">
        <v>421.6486953125</v>
      </c>
    </row>
    <row r="18">
      <c r="A18" t="n">
        <v>16</v>
      </c>
      <c r="B18" s="2" t="n">
        <v>11.5</v>
      </c>
      <c r="C18" s="2" t="n">
        <v>401.9272</v>
      </c>
    </row>
    <row r="19">
      <c r="A19" t="n">
        <v>17</v>
      </c>
      <c r="B19" s="2" t="n">
        <v>12.21875</v>
      </c>
      <c r="C19" s="2" t="n">
        <v>310.942303125</v>
      </c>
    </row>
    <row r="20">
      <c r="A20" t="n">
        <v>18</v>
      </c>
      <c r="B20" s="2" t="n">
        <v>12.9375</v>
      </c>
      <c r="C20" s="2" t="n">
        <v>103.25855625</v>
      </c>
    </row>
    <row r="21">
      <c r="A21" t="n">
        <v>19</v>
      </c>
      <c r="B21" s="2" t="n">
        <v>13.65625</v>
      </c>
      <c r="C21" s="2" t="n">
        <v>36.39874218750001</v>
      </c>
    </row>
    <row r="22">
      <c r="A22" t="n">
        <v>20</v>
      </c>
      <c r="B22" s="2" t="n">
        <v>14.375</v>
      </c>
      <c r="C22" s="2" t="n">
        <v>19.67346875</v>
      </c>
    </row>
    <row r="23">
      <c r="A23" t="n">
        <v>21</v>
      </c>
      <c r="B23" s="2" t="n">
        <v>15.09375</v>
      </c>
      <c r="C23" s="2" t="n">
        <v>35.06424687499999</v>
      </c>
    </row>
    <row r="24">
      <c r="A24" t="n">
        <v>22</v>
      </c>
      <c r="B24" s="2" t="n">
        <v>15.8125</v>
      </c>
      <c r="C24" s="2" t="n">
        <v>40.14530625</v>
      </c>
    </row>
    <row r="25">
      <c r="A25" t="n">
        <v>23</v>
      </c>
      <c r="B25" s="2" t="n">
        <v>16.53125</v>
      </c>
      <c r="C25" s="2" t="n">
        <v>19.4394375</v>
      </c>
    </row>
    <row r="26">
      <c r="A26" t="n">
        <v>24</v>
      </c>
      <c r="B26" s="2" t="n">
        <v>17.25</v>
      </c>
      <c r="C26" s="2" t="n">
        <v>0.9914500000000001</v>
      </c>
    </row>
    <row r="27">
      <c r="A27" t="n">
        <v>25</v>
      </c>
      <c r="B27" s="2" t="n">
        <v>17.96875</v>
      </c>
      <c r="C27" s="2" t="n">
        <v>3.84186875</v>
      </c>
    </row>
    <row r="28">
      <c r="A28" t="n">
        <v>26</v>
      </c>
      <c r="B28" s="2" t="n">
        <v>18.6875</v>
      </c>
      <c r="C28" s="2" t="n">
        <v>1.2393125</v>
      </c>
    </row>
    <row r="29">
      <c r="A29" t="n">
        <v>27</v>
      </c>
      <c r="B29" s="2" t="n">
        <v>19.40625</v>
      </c>
      <c r="C29" s="2" t="n">
        <v>0</v>
      </c>
    </row>
    <row r="30">
      <c r="A30" t="n">
        <v>28</v>
      </c>
      <c r="B30" s="2" t="n">
        <v>20.125</v>
      </c>
      <c r="C30" s="2" t="n">
        <v>0</v>
      </c>
    </row>
    <row r="31">
      <c r="A31" t="n">
        <v>29</v>
      </c>
      <c r="B31" s="2" t="n">
        <v>20.84375</v>
      </c>
      <c r="C31" s="2" t="n">
        <v>0</v>
      </c>
    </row>
    <row r="32">
      <c r="A32" t="n">
        <v>30</v>
      </c>
      <c r="B32" s="2" t="n">
        <v>21.5625</v>
      </c>
      <c r="C32" s="2" t="n">
        <v>0</v>
      </c>
    </row>
    <row r="33">
      <c r="A33" t="n">
        <v>31</v>
      </c>
      <c r="B33" s="2" t="n">
        <v>22.28125</v>
      </c>
      <c r="C33" s="2" t="n">
        <v>0</v>
      </c>
    </row>
    <row r="34">
      <c r="A34" t="n">
        <v>32</v>
      </c>
      <c r="B34" s="2" t="n">
        <v>23</v>
      </c>
      <c r="C3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Iteración</t>
        </is>
      </c>
      <c r="B1" s="1" t="inlineStr">
        <is>
          <t>xi</t>
        </is>
      </c>
      <c r="C1" s="1" t="inlineStr">
        <is>
          <t>f(xi)</t>
        </is>
      </c>
      <c r="D1" s="1" t="inlineStr">
        <is>
          <t>f'(xi)</t>
        </is>
      </c>
      <c r="E1" s="1" t="inlineStr">
        <is>
          <t>xi+1</t>
        </is>
      </c>
      <c r="F1" s="1" t="inlineStr">
        <is>
          <t>Error</t>
        </is>
      </c>
    </row>
    <row r="2">
      <c r="A2" t="n">
        <v>1</v>
      </c>
      <c r="B2" s="5" t="inlineStr">
        <is>
          <t>0.211991181605735</t>
        </is>
      </c>
      <c r="C2" s="5" t="inlineStr">
        <is>
          <t>91.145785394897487</t>
        </is>
      </c>
      <c r="D2" s="5" t="inlineStr">
        <is>
          <t>-522.278692375299443</t>
        </is>
      </c>
      <c r="E2" s="5" t="inlineStr">
        <is>
          <t>0.386506793147096</t>
        </is>
      </c>
      <c r="F2" s="5" t="inlineStr">
        <is>
          <t>45.152016636081171%</t>
        </is>
      </c>
    </row>
    <row r="3">
      <c r="A3" t="n">
        <v>2</v>
      </c>
      <c r="B3" s="5" t="inlineStr">
        <is>
          <t>0.386506793147096</t>
        </is>
      </c>
      <c r="C3" s="5" t="inlineStr">
        <is>
          <t>-4.816740962205657</t>
        </is>
      </c>
      <c r="D3" s="5" t="inlineStr">
        <is>
          <t>-572.975846126489273</t>
        </is>
      </c>
      <c r="E3" s="5" t="inlineStr">
        <is>
          <t>0.378100259093752</t>
        </is>
      </c>
      <c r="F3" s="5" t="inlineStr">
        <is>
          <t>2.223361093031958%</t>
        </is>
      </c>
    </row>
    <row r="4">
      <c r="A4" t="n">
        <v>3</v>
      </c>
      <c r="B4" s="5" t="inlineStr">
        <is>
          <t>0.378100259093752</t>
        </is>
      </c>
      <c r="C4" s="5" t="inlineStr">
        <is>
          <t>-0.007515714731369</t>
        </is>
      </c>
      <c r="D4" s="5" t="inlineStr">
        <is>
          <t>-571.176150834296777</t>
        </is>
      </c>
      <c r="E4" s="5" t="inlineStr">
        <is>
          <t>0.378087100780471</t>
        </is>
      </c>
      <c r="F4" s="5" t="inlineStr">
        <is>
          <t>0.003480233325580%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2026-06-23T03:25:25Z</dcterms:created>
  <dcterms:modified xmlns:dcterms="http://purl.org/dc/terms/" xmlns:xsi="http://www.w3.org/2001/XMLSchema-instance" xsi:type="dcterms:W3CDTF">2026-06-23T03:25:25Z</dcterms:modified>
</cp:coreProperties>
</file>